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22048\DEV\epan\doc\"/>
    </mc:Choice>
  </mc:AlternateContent>
  <xr:revisionPtr revIDLastSave="0" documentId="13_ncr:1_{05413C17-72D5-42A9-A22E-ACC72C8209D0}" xr6:coauthVersionLast="47" xr6:coauthVersionMax="47" xr10:uidLastSave="{00000000-0000-0000-0000-000000000000}"/>
  <bookViews>
    <workbookView xWindow="-135" yWindow="-135" windowWidth="29070" windowHeight="15750" xr2:uid="{8F79029C-D965-4DE1-B048-26978C831B9D}"/>
  </bookViews>
  <sheets>
    <sheet name="partitions (2)" sheetId="5" r:id="rId1"/>
    <sheet name="partitions" sheetId="1" r:id="rId2"/>
    <sheet name="ClavierPC" sheetId="3" r:id="rId3"/>
    <sheet name="BP" sheetId="2" r:id="rId4"/>
    <sheet name="I2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5" l="1"/>
  <c r="P6" i="5" s="1"/>
  <c r="E17" i="5"/>
  <c r="S4" i="5"/>
  <c r="S3" i="5"/>
  <c r="Q4" i="5"/>
  <c r="P4" i="5"/>
  <c r="P7" i="5"/>
  <c r="P8" i="5"/>
  <c r="O4" i="5"/>
  <c r="O5" i="5"/>
  <c r="M4" i="5"/>
  <c r="K5" i="5"/>
  <c r="K4" i="5"/>
  <c r="F16" i="5"/>
  <c r="F17" i="1"/>
  <c r="E16" i="1"/>
  <c r="F13" i="5"/>
  <c r="H8" i="5"/>
  <c r="G8" i="5"/>
  <c r="I8" i="5" s="1"/>
  <c r="H7" i="5"/>
  <c r="F14" i="5" s="1"/>
  <c r="E14" i="5" s="1"/>
  <c r="G7" i="5"/>
  <c r="H5" i="5"/>
  <c r="G5" i="5"/>
  <c r="H4" i="5"/>
  <c r="G4" i="5"/>
  <c r="Q3" i="5"/>
  <c r="P3" i="5"/>
  <c r="O3" i="5"/>
  <c r="M3" i="5"/>
  <c r="H3" i="5"/>
  <c r="G3" i="5"/>
  <c r="B5" i="2"/>
  <c r="B6" i="2" s="1"/>
  <c r="P3" i="1"/>
  <c r="P4" i="1"/>
  <c r="P7" i="1"/>
  <c r="O3" i="1"/>
  <c r="S3" i="1" s="1"/>
  <c r="H6" i="1"/>
  <c r="I6" i="1" s="1"/>
  <c r="F12" i="1"/>
  <c r="M3" i="1"/>
  <c r="Q3" i="1" s="1"/>
  <c r="H4" i="1"/>
  <c r="H5" i="1"/>
  <c r="H7" i="1"/>
  <c r="H3" i="1"/>
  <c r="G4" i="1"/>
  <c r="I4" i="1" s="1"/>
  <c r="G5" i="1"/>
  <c r="I5" i="1" s="1"/>
  <c r="L5" i="1" s="1"/>
  <c r="G6" i="1"/>
  <c r="G7" i="1"/>
  <c r="I7" i="1" s="1"/>
  <c r="G3" i="1"/>
  <c r="P5" i="5" l="1"/>
  <c r="S5" i="5" s="1"/>
  <c r="M5" i="5"/>
  <c r="Q5" i="5" s="1"/>
  <c r="L7" i="5"/>
  <c r="I4" i="5"/>
  <c r="I7" i="5"/>
  <c r="I3" i="5"/>
  <c r="I5" i="5"/>
  <c r="I3" i="1"/>
  <c r="P5" i="1"/>
  <c r="K4" i="1"/>
  <c r="F13" i="1"/>
  <c r="E13" i="1" s="1"/>
  <c r="L6" i="1"/>
  <c r="P6" i="1" s="1"/>
  <c r="M4" i="1" l="1"/>
  <c r="O4" i="1"/>
  <c r="S4" i="1" s="1"/>
  <c r="K6" i="5" l="1"/>
  <c r="Q4" i="1"/>
  <c r="K5" i="1"/>
  <c r="M6" i="5" l="1"/>
  <c r="Q6" i="5" s="1"/>
  <c r="O6" i="5"/>
  <c r="S6" i="5" s="1"/>
  <c r="O5" i="1"/>
  <c r="S5" i="1" s="1"/>
  <c r="M5" i="1"/>
  <c r="K7" i="5" l="1"/>
  <c r="O7" i="5" s="1"/>
  <c r="S7" i="5" s="1"/>
  <c r="Q5" i="1"/>
  <c r="K6" i="1"/>
  <c r="M7" i="5" l="1"/>
  <c r="Q7" i="5" s="1"/>
  <c r="K8" i="5"/>
  <c r="O6" i="1"/>
  <c r="S6" i="1" s="1"/>
  <c r="M6" i="1"/>
  <c r="M8" i="5" l="1"/>
  <c r="Q8" i="5" s="1"/>
  <c r="O8" i="5"/>
  <c r="S8" i="5" s="1"/>
  <c r="K7" i="1"/>
  <c r="Q6" i="1"/>
  <c r="M7" i="1" l="1"/>
  <c r="Q7" i="1" s="1"/>
  <c r="O7" i="1"/>
  <c r="S7" i="1" s="1"/>
</calcChain>
</file>

<file path=xl/sharedStrings.xml><?xml version="1.0" encoding="utf-8"?>
<sst xmlns="http://schemas.openxmlformats.org/spreadsheetml/2006/main" count="119" uniqueCount="64">
  <si>
    <t># Name</t>
  </si>
  <si>
    <t>Type</t>
  </si>
  <si>
    <t>SubType</t>
  </si>
  <si>
    <t>Offset</t>
  </si>
  <si>
    <t>Size</t>
  </si>
  <si>
    <t>nvs</t>
  </si>
  <si>
    <t>data</t>
  </si>
  <si>
    <t>otadata</t>
  </si>
  <si>
    <t>ota</t>
  </si>
  <si>
    <t>app0</t>
  </si>
  <si>
    <t>app</t>
  </si>
  <si>
    <t>ota_0</t>
  </si>
  <si>
    <t>spiffs</t>
  </si>
  <si>
    <t>coredump</t>
  </si>
  <si>
    <t>e000</t>
  </si>
  <si>
    <t>E0000</t>
  </si>
  <si>
    <t>3F0000</t>
  </si>
  <si>
    <t>Offset + size</t>
  </si>
  <si>
    <t>echantillonnage</t>
  </si>
  <si>
    <t>Hz</t>
  </si>
  <si>
    <t>octets</t>
  </si>
  <si>
    <t>Val</t>
  </si>
  <si>
    <t>Var</t>
  </si>
  <si>
    <t>FQ</t>
  </si>
  <si>
    <t>Unité</t>
  </si>
  <si>
    <t>Commentaire</t>
  </si>
  <si>
    <t>Paramètre</t>
  </si>
  <si>
    <t>ms</t>
  </si>
  <si>
    <t>D</t>
  </si>
  <si>
    <t>1 A#</t>
  </si>
  <si>
    <t>4 C#</t>
  </si>
  <si>
    <t>6 D#</t>
  </si>
  <si>
    <t>9 F#</t>
  </si>
  <si>
    <t>11 G#</t>
  </si>
  <si>
    <t>13 A#</t>
  </si>
  <si>
    <t>0 A2</t>
  </si>
  <si>
    <t>2 B2</t>
  </si>
  <si>
    <t>3 C</t>
  </si>
  <si>
    <t>5 D</t>
  </si>
  <si>
    <t>7 E</t>
  </si>
  <si>
    <t>8 F</t>
  </si>
  <si>
    <t>10 G</t>
  </si>
  <si>
    <t>12 A</t>
  </si>
  <si>
    <t>Taille du paquet</t>
  </si>
  <si>
    <t>Nb paquets par second</t>
  </si>
  <si>
    <t>Durée transmission du paquet</t>
  </si>
  <si>
    <t>SIZE</t>
  </si>
  <si>
    <t>=SIZE/FQ</t>
  </si>
  <si>
    <t>nb</t>
  </si>
  <si>
    <t>playSound: 57 A2 127 0</t>
  </si>
  <si>
    <t xml:space="preserve">   slot: 0</t>
  </si>
  <si>
    <t>SON OK</t>
  </si>
  <si>
    <t>son très haché</t>
  </si>
  <si>
    <t xml:space="preserve">TEMPO=0ms
3 buffers de 1024b
</t>
  </si>
  <si>
    <r>
      <t xml:space="preserve"> TEMPO = </t>
    </r>
    <r>
      <rPr>
        <b/>
        <sz val="11"/>
        <color theme="1"/>
        <rFont val="Calibri"/>
        <family val="2"/>
        <scheme val="minor"/>
      </rPr>
      <t>10ms</t>
    </r>
    <r>
      <rPr>
        <sz val="11"/>
        <color theme="1"/>
        <rFont val="Calibri"/>
        <family val="2"/>
        <scheme val="minor"/>
      </rPr>
      <t xml:space="preserve">
3 buffers de 1024b</t>
    </r>
  </si>
  <si>
    <r>
      <t xml:space="preserve"> TEMPO = </t>
    </r>
    <r>
      <rPr>
        <b/>
        <sz val="11"/>
        <color theme="1"/>
        <rFont val="Calibri"/>
        <family val="2"/>
        <scheme val="minor"/>
      </rPr>
      <t>20ms</t>
    </r>
    <r>
      <rPr>
        <sz val="11"/>
        <color theme="1"/>
        <rFont val="Calibri"/>
        <family val="2"/>
        <scheme val="minor"/>
      </rPr>
      <t xml:space="preserve">
3 buffers de 1024b</t>
    </r>
  </si>
  <si>
    <r>
      <t xml:space="preserve"> TEMPO = 10ms
</t>
    </r>
    <r>
      <rPr>
        <b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buffers de 1024b</t>
    </r>
  </si>
  <si>
    <t>app1</t>
  </si>
  <si>
    <t>ota_1</t>
  </si>
  <si>
    <t>²</t>
  </si>
  <si>
    <t>partitions.txt</t>
  </si>
  <si>
    <t xml:space="preserve"> (3272481 bytes) is greater than maximum allowed (1572864 bytes)</t>
  </si>
  <si>
    <t>En HEXA</t>
  </si>
  <si>
    <t>En Décimal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</si>
</sst>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0.0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1F2328"/>
      <name val="Segoe UI"/>
      <family val="2"/>
    </font>
    <font>
      <sz val="9"/>
      <color rgb="FF1F2328"/>
      <name val="Segoe UI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5" fontId="0" fillId="0" borderId="0" xfId="0" applyNumberFormat="1"/>
    <xf numFmtId="166" fontId="0" fillId="0" borderId="0" xfId="0" applyNumberFormat="1" applyAlignment="1">
      <alignment horizontal="left"/>
    </xf>
    <xf numFmtId="0" fontId="0" fillId="3" borderId="0" xfId="0" applyFill="1"/>
    <xf numFmtId="0" fontId="0" fillId="0" borderId="0" xfId="0" quotePrefix="1"/>
    <xf numFmtId="0" fontId="0" fillId="0" borderId="0" xfId="0" applyAlignment="1">
      <alignment wrapText="1"/>
    </xf>
    <xf numFmtId="0" fontId="0" fillId="6" borderId="0" xfId="0" applyFill="1"/>
    <xf numFmtId="0" fontId="0" fillId="7" borderId="0" xfId="0" applyFill="1"/>
    <xf numFmtId="0" fontId="0" fillId="4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2" xfId="0" quotePrefix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8" borderId="0" xfId="0" applyFont="1" applyFill="1" applyAlignment="1">
      <alignment horizontal="left" vertical="center"/>
    </xf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AC52-CD3D-407B-A12F-021F723333CD}">
  <dimension ref="A1:T19"/>
  <sheetViews>
    <sheetView tabSelected="1" workbookViewId="0">
      <selection activeCell="O10" sqref="O10"/>
    </sheetView>
  </sheetViews>
  <sheetFormatPr baseColWidth="10" defaultRowHeight="14.4" x14ac:dyDescent="0.3"/>
  <cols>
    <col min="1" max="1" width="23" customWidth="1"/>
    <col min="19" max="19" width="38.21875" bestFit="1" customWidth="1"/>
  </cols>
  <sheetData>
    <row r="1" spans="1:20" x14ac:dyDescent="0.3">
      <c r="A1" s="1"/>
      <c r="B1" s="1"/>
      <c r="C1" s="1"/>
      <c r="D1" s="1"/>
      <c r="E1" s="1"/>
      <c r="F1" s="1"/>
      <c r="K1" s="18" t="s">
        <v>63</v>
      </c>
      <c r="L1" s="18"/>
      <c r="M1" s="18"/>
      <c r="O1" s="17" t="s">
        <v>62</v>
      </c>
      <c r="P1" s="17"/>
      <c r="Q1" s="17"/>
    </row>
    <row r="2" spans="1:2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2" t="s">
        <v>3</v>
      </c>
      <c r="H2" s="2" t="s">
        <v>4</v>
      </c>
      <c r="I2" s="2" t="s">
        <v>17</v>
      </c>
      <c r="K2" s="2" t="s">
        <v>3</v>
      </c>
      <c r="L2" s="2" t="s">
        <v>4</v>
      </c>
      <c r="M2" s="2" t="s">
        <v>17</v>
      </c>
      <c r="O2" s="2" t="s">
        <v>3</v>
      </c>
      <c r="P2" s="2" t="s">
        <v>4</v>
      </c>
      <c r="Q2" s="2" t="s">
        <v>17</v>
      </c>
      <c r="S2" s="16" t="s">
        <v>60</v>
      </c>
    </row>
    <row r="3" spans="1:20" x14ac:dyDescent="0.3">
      <c r="A3" s="3" t="s">
        <v>5</v>
      </c>
      <c r="B3" s="3" t="s">
        <v>6</v>
      </c>
      <c r="C3" s="3" t="s">
        <v>5</v>
      </c>
      <c r="D3" s="4">
        <v>9000</v>
      </c>
      <c r="E3" s="4">
        <v>5000</v>
      </c>
      <c r="F3" s="3"/>
      <c r="G3">
        <f>HEX2DEC(D3)</f>
        <v>36864</v>
      </c>
      <c r="H3">
        <f>HEX2DEC(E3)</f>
        <v>20480</v>
      </c>
      <c r="I3">
        <f>G3+H3</f>
        <v>57344</v>
      </c>
      <c r="K3">
        <v>36864</v>
      </c>
      <c r="L3">
        <v>20480</v>
      </c>
      <c r="M3">
        <f>K3+L3</f>
        <v>57344</v>
      </c>
      <c r="O3" t="str">
        <f>DEC2HEX(K3)</f>
        <v>9000</v>
      </c>
      <c r="P3" t="str">
        <f t="shared" ref="P3:Q8" si="0">DEC2HEX(L3)</f>
        <v>5000</v>
      </c>
      <c r="Q3" t="str">
        <f t="shared" si="0"/>
        <v>E000</v>
      </c>
      <c r="S3" t="str">
        <f>_xlfn.CONCAT(A3,",",B3,",",C3,",0x",O3,",0x",P3,",")</f>
        <v>nvs,data,nvs,0x9000,0x5000,</v>
      </c>
    </row>
    <row r="4" spans="1:20" x14ac:dyDescent="0.3">
      <c r="A4" s="3" t="s">
        <v>7</v>
      </c>
      <c r="B4" s="3" t="s">
        <v>6</v>
      </c>
      <c r="C4" s="3" t="s">
        <v>8</v>
      </c>
      <c r="D4" s="4" t="s">
        <v>14</v>
      </c>
      <c r="E4" s="4">
        <v>2000</v>
      </c>
      <c r="F4" s="3"/>
      <c r="G4">
        <f t="shared" ref="G4:H8" si="1">HEX2DEC(D4)</f>
        <v>57344</v>
      </c>
      <c r="H4">
        <f t="shared" si="1"/>
        <v>8192</v>
      </c>
      <c r="I4">
        <f t="shared" ref="I4:I8" si="2">G4+H4</f>
        <v>65536</v>
      </c>
      <c r="K4">
        <f>M3</f>
        <v>57344</v>
      </c>
      <c r="L4">
        <v>8192</v>
      </c>
      <c r="M4">
        <f t="shared" ref="M4:M8" si="3">K4+L4</f>
        <v>65536</v>
      </c>
      <c r="O4" t="str">
        <f t="shared" ref="O4:O8" si="4">DEC2HEX(K4)</f>
        <v>E000</v>
      </c>
      <c r="P4" t="str">
        <f t="shared" si="0"/>
        <v>2000</v>
      </c>
      <c r="Q4" t="str">
        <f t="shared" si="0"/>
        <v>10000</v>
      </c>
      <c r="S4" t="str">
        <f t="shared" ref="S4:S8" si="5">_xlfn.CONCAT(A4,",",B4,",",C4,",0x",O4,",0x",P4,",")</f>
        <v>otadata,data,ota,0xE000,0x2000,</v>
      </c>
    </row>
    <row r="5" spans="1:20" x14ac:dyDescent="0.3">
      <c r="A5" s="3" t="s">
        <v>9</v>
      </c>
      <c r="B5" s="3" t="s">
        <v>10</v>
      </c>
      <c r="C5" s="3" t="s">
        <v>11</v>
      </c>
      <c r="D5" s="4">
        <v>10000</v>
      </c>
      <c r="E5" s="4">
        <v>300000</v>
      </c>
      <c r="F5" s="3"/>
      <c r="G5">
        <f t="shared" si="1"/>
        <v>65536</v>
      </c>
      <c r="H5">
        <f t="shared" si="1"/>
        <v>3145728</v>
      </c>
      <c r="I5">
        <f t="shared" si="2"/>
        <v>3211264</v>
      </c>
      <c r="K5">
        <f t="shared" ref="K5:K8" si="6">M4</f>
        <v>65536</v>
      </c>
      <c r="L5">
        <v>4194304</v>
      </c>
      <c r="M5">
        <f t="shared" si="3"/>
        <v>4259840</v>
      </c>
      <c r="O5" t="str">
        <f t="shared" si="4"/>
        <v>10000</v>
      </c>
      <c r="P5" t="str">
        <f t="shared" si="0"/>
        <v>400000</v>
      </c>
      <c r="Q5" t="str">
        <f t="shared" si="0"/>
        <v>410000</v>
      </c>
      <c r="S5" t="str">
        <f t="shared" si="5"/>
        <v>app0,app,ota_0,0x10000,0x400000,</v>
      </c>
    </row>
    <row r="6" spans="1:20" x14ac:dyDescent="0.3">
      <c r="A6" s="3" t="s">
        <v>57</v>
      </c>
      <c r="B6" s="3" t="s">
        <v>10</v>
      </c>
      <c r="C6" s="3" t="s">
        <v>58</v>
      </c>
      <c r="D6" s="4"/>
      <c r="E6" s="4"/>
      <c r="F6" s="3"/>
      <c r="K6">
        <f t="shared" si="6"/>
        <v>4259840</v>
      </c>
      <c r="L6">
        <f>L5</f>
        <v>4194304</v>
      </c>
      <c r="M6">
        <f t="shared" si="3"/>
        <v>8454144</v>
      </c>
      <c r="O6" t="str">
        <f t="shared" si="4"/>
        <v>410000</v>
      </c>
      <c r="P6" t="str">
        <f t="shared" si="0"/>
        <v>400000</v>
      </c>
      <c r="Q6" t="str">
        <f t="shared" si="0"/>
        <v>810000</v>
      </c>
      <c r="S6" t="str">
        <f t="shared" si="5"/>
        <v>app1,app,ota_1,0x410000,0x400000,</v>
      </c>
    </row>
    <row r="7" spans="1:20" x14ac:dyDescent="0.3">
      <c r="A7" s="3" t="s">
        <v>12</v>
      </c>
      <c r="B7" s="3" t="s">
        <v>6</v>
      </c>
      <c r="C7" s="3" t="s">
        <v>12</v>
      </c>
      <c r="D7" s="4">
        <v>310000</v>
      </c>
      <c r="E7" s="4" t="s">
        <v>15</v>
      </c>
      <c r="F7" s="3"/>
      <c r="G7">
        <f t="shared" si="1"/>
        <v>3211264</v>
      </c>
      <c r="H7">
        <f>HEX2DEC(E7)</f>
        <v>917504</v>
      </c>
      <c r="I7">
        <f t="shared" si="2"/>
        <v>4128768</v>
      </c>
      <c r="K7">
        <f t="shared" si="6"/>
        <v>8454144</v>
      </c>
      <c r="L7">
        <f>H7/2</f>
        <v>458752</v>
      </c>
      <c r="M7">
        <f t="shared" si="3"/>
        <v>8912896</v>
      </c>
      <c r="O7" t="str">
        <f t="shared" si="4"/>
        <v>810000</v>
      </c>
      <c r="P7" t="str">
        <f t="shared" si="0"/>
        <v>70000</v>
      </c>
      <c r="Q7" t="str">
        <f t="shared" si="0"/>
        <v>880000</v>
      </c>
      <c r="S7" t="str">
        <f t="shared" si="5"/>
        <v>spiffs,data,spiffs,0x810000,0x70000,</v>
      </c>
    </row>
    <row r="8" spans="1:20" x14ac:dyDescent="0.3">
      <c r="A8" s="3" t="s">
        <v>13</v>
      </c>
      <c r="B8" s="3" t="s">
        <v>6</v>
      </c>
      <c r="C8" s="3" t="s">
        <v>13</v>
      </c>
      <c r="D8" s="4" t="s">
        <v>16</v>
      </c>
      <c r="E8" s="4">
        <v>10000</v>
      </c>
      <c r="F8" s="1"/>
      <c r="G8">
        <f t="shared" si="1"/>
        <v>4128768</v>
      </c>
      <c r="H8">
        <f t="shared" si="1"/>
        <v>65536</v>
      </c>
      <c r="I8">
        <f t="shared" si="2"/>
        <v>4194304</v>
      </c>
      <c r="K8">
        <f t="shared" si="6"/>
        <v>8912896</v>
      </c>
      <c r="L8">
        <v>65536</v>
      </c>
      <c r="M8">
        <f t="shared" si="3"/>
        <v>8978432</v>
      </c>
      <c r="O8" t="str">
        <f t="shared" si="4"/>
        <v>880000</v>
      </c>
      <c r="P8" t="str">
        <f t="shared" si="0"/>
        <v>10000</v>
      </c>
      <c r="Q8" t="str">
        <f t="shared" si="0"/>
        <v>890000</v>
      </c>
      <c r="S8" t="str">
        <f t="shared" si="5"/>
        <v>coredump,data,coredump,0x880000,0x10000,</v>
      </c>
    </row>
    <row r="12" spans="1:20" x14ac:dyDescent="0.3">
      <c r="T12" t="s">
        <v>59</v>
      </c>
    </row>
    <row r="13" spans="1:20" x14ac:dyDescent="0.3">
      <c r="E13" s="4">
        <v>600000</v>
      </c>
      <c r="F13">
        <f>HEX2DEC(E13)</f>
        <v>6291456</v>
      </c>
      <c r="H13">
        <v>3272481</v>
      </c>
      <c r="L13" t="s">
        <v>59</v>
      </c>
    </row>
    <row r="14" spans="1:20" x14ac:dyDescent="0.3">
      <c r="E14" t="str">
        <f>DEC2HEX(F14)</f>
        <v>70000</v>
      </c>
      <c r="F14">
        <f>H7/2</f>
        <v>458752</v>
      </c>
    </row>
    <row r="16" spans="1:20" x14ac:dyDescent="0.3">
      <c r="E16" s="4">
        <v>400000</v>
      </c>
      <c r="F16">
        <f>HEX2DEC(E16)</f>
        <v>4194304</v>
      </c>
    </row>
    <row r="17" spans="5:7" x14ac:dyDescent="0.3">
      <c r="E17" t="str">
        <f>DEC2HEX(F17)</f>
        <v>180000</v>
      </c>
      <c r="F17">
        <v>1572864</v>
      </c>
    </row>
    <row r="19" spans="5:7" x14ac:dyDescent="0.3">
      <c r="G19" t="s">
        <v>61</v>
      </c>
    </row>
  </sheetData>
  <pageMargins left="0.7" right="0.7" top="0.75" bottom="0.75" header="0.3" footer="0.3"/>
  <pageSetup paperSize="9" orientation="portrait" r:id="rId1"/>
  <headerFooter>
    <oddFooter>&amp;C_x000D_&amp;1#&amp;"Calibri"&amp;10&amp;K0078D7 C1 - Interne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ACB4-C319-4BE9-87E2-F660C8CEAFD8}">
  <dimension ref="A1:S17"/>
  <sheetViews>
    <sheetView topLeftCell="C1" workbookViewId="0">
      <selection activeCell="S3" sqref="S3"/>
    </sheetView>
  </sheetViews>
  <sheetFormatPr baseColWidth="10" defaultRowHeight="14.4" x14ac:dyDescent="0.3"/>
  <cols>
    <col min="1" max="1" width="23" customWidth="1"/>
  </cols>
  <sheetData>
    <row r="1" spans="1:19" x14ac:dyDescent="0.3">
      <c r="A1" s="1"/>
      <c r="B1" s="1"/>
      <c r="C1" s="1"/>
      <c r="D1" s="1"/>
      <c r="E1" s="1"/>
      <c r="F1" s="1"/>
    </row>
    <row r="2" spans="1:19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/>
      <c r="G2" s="2" t="s">
        <v>3</v>
      </c>
      <c r="H2" s="2" t="s">
        <v>4</v>
      </c>
      <c r="I2" s="2" t="s">
        <v>17</v>
      </c>
      <c r="K2" s="2" t="s">
        <v>3</v>
      </c>
      <c r="L2" s="2" t="s">
        <v>4</v>
      </c>
      <c r="M2" s="2" t="s">
        <v>17</v>
      </c>
      <c r="O2" s="2" t="s">
        <v>3</v>
      </c>
      <c r="P2" s="2" t="s">
        <v>4</v>
      </c>
      <c r="Q2" s="2" t="s">
        <v>17</v>
      </c>
    </row>
    <row r="3" spans="1:19" x14ac:dyDescent="0.3">
      <c r="A3" s="3" t="s">
        <v>5</v>
      </c>
      <c r="B3" s="3" t="s">
        <v>6</v>
      </c>
      <c r="C3" s="3" t="s">
        <v>5</v>
      </c>
      <c r="D3" s="4">
        <v>9000</v>
      </c>
      <c r="E3" s="4">
        <v>5000</v>
      </c>
      <c r="F3" s="3"/>
      <c r="G3">
        <f>HEX2DEC(D3)</f>
        <v>36864</v>
      </c>
      <c r="H3">
        <f>HEX2DEC(E3)</f>
        <v>20480</v>
      </c>
      <c r="I3">
        <f>G3+H3</f>
        <v>57344</v>
      </c>
      <c r="K3">
        <v>36864</v>
      </c>
      <c r="L3">
        <v>20480</v>
      </c>
      <c r="M3">
        <f>K3+L3</f>
        <v>57344</v>
      </c>
      <c r="O3" t="str">
        <f>DEC2HEX(K3)</f>
        <v>9000</v>
      </c>
      <c r="P3" t="str">
        <f t="shared" ref="P3:Q7" si="0">DEC2HEX(L3)</f>
        <v>5000</v>
      </c>
      <c r="Q3" t="str">
        <f t="shared" si="0"/>
        <v>E000</v>
      </c>
      <c r="S3" t="str">
        <f>_xlfn.CONCAT(A3,",",B3,",",C3,",0x",O3,",0x",P3)</f>
        <v>nvs,data,nvs,0x9000,0x5000</v>
      </c>
    </row>
    <row r="4" spans="1:19" x14ac:dyDescent="0.3">
      <c r="A4" s="3" t="s">
        <v>7</v>
      </c>
      <c r="B4" s="3" t="s">
        <v>6</v>
      </c>
      <c r="C4" s="3" t="s">
        <v>8</v>
      </c>
      <c r="D4" s="4" t="s">
        <v>14</v>
      </c>
      <c r="E4" s="4">
        <v>2000</v>
      </c>
      <c r="F4" s="3"/>
      <c r="G4">
        <f t="shared" ref="G4:G7" si="1">HEX2DEC(D4)</f>
        <v>57344</v>
      </c>
      <c r="H4">
        <f t="shared" ref="H4:H7" si="2">HEX2DEC(E4)</f>
        <v>8192</v>
      </c>
      <c r="I4">
        <f t="shared" ref="I4:I7" si="3">G4+H4</f>
        <v>65536</v>
      </c>
      <c r="K4">
        <f>M3</f>
        <v>57344</v>
      </c>
      <c r="L4">
        <v>8192</v>
      </c>
      <c r="M4">
        <f t="shared" ref="M4:M7" si="4">K4+L4</f>
        <v>65536</v>
      </c>
      <c r="O4" t="str">
        <f t="shared" ref="O4:O7" si="5">DEC2HEX(K4)</f>
        <v>E000</v>
      </c>
      <c r="P4" t="str">
        <f t="shared" si="0"/>
        <v>2000</v>
      </c>
      <c r="Q4" t="str">
        <f t="shared" si="0"/>
        <v>10000</v>
      </c>
      <c r="S4" t="str">
        <f t="shared" ref="S4:S7" si="6">_xlfn.CONCAT(A4,",",B4,",",C4,",0x",O4,",0x",P4)</f>
        <v>otadata,data,ota,0xE000,0x2000</v>
      </c>
    </row>
    <row r="5" spans="1:19" x14ac:dyDescent="0.3">
      <c r="A5" s="3" t="s">
        <v>9</v>
      </c>
      <c r="B5" s="3" t="s">
        <v>10</v>
      </c>
      <c r="C5" s="3" t="s">
        <v>11</v>
      </c>
      <c r="D5" s="4">
        <v>10000</v>
      </c>
      <c r="E5" s="4">
        <v>300000</v>
      </c>
      <c r="F5" s="3"/>
      <c r="G5">
        <f t="shared" si="1"/>
        <v>65536</v>
      </c>
      <c r="H5">
        <f t="shared" si="2"/>
        <v>3145728</v>
      </c>
      <c r="I5">
        <f t="shared" si="3"/>
        <v>3211264</v>
      </c>
      <c r="K5">
        <f t="shared" ref="K5:K7" si="7">M4</f>
        <v>65536</v>
      </c>
      <c r="L5">
        <f>I5*2</f>
        <v>6422528</v>
      </c>
      <c r="M5">
        <f t="shared" si="4"/>
        <v>6488064</v>
      </c>
      <c r="O5" t="str">
        <f t="shared" si="5"/>
        <v>10000</v>
      </c>
      <c r="P5" t="str">
        <f t="shared" si="0"/>
        <v>620000</v>
      </c>
      <c r="Q5" t="str">
        <f t="shared" si="0"/>
        <v>630000</v>
      </c>
      <c r="S5" t="str">
        <f t="shared" si="6"/>
        <v>app0,app,ota_0,0x10000,0x620000</v>
      </c>
    </row>
    <row r="6" spans="1:19" x14ac:dyDescent="0.3">
      <c r="A6" s="3" t="s">
        <v>12</v>
      </c>
      <c r="B6" s="3" t="s">
        <v>6</v>
      </c>
      <c r="C6" s="3" t="s">
        <v>12</v>
      </c>
      <c r="D6" s="4">
        <v>310000</v>
      </c>
      <c r="E6" s="4" t="s">
        <v>15</v>
      </c>
      <c r="F6" s="3"/>
      <c r="G6">
        <f t="shared" si="1"/>
        <v>3211264</v>
      </c>
      <c r="H6">
        <f>HEX2DEC(E6)</f>
        <v>917504</v>
      </c>
      <c r="I6">
        <f t="shared" si="3"/>
        <v>4128768</v>
      </c>
      <c r="K6">
        <f>M5</f>
        <v>6488064</v>
      </c>
      <c r="L6">
        <f>H6/2</f>
        <v>458752</v>
      </c>
      <c r="M6">
        <f t="shared" si="4"/>
        <v>6946816</v>
      </c>
      <c r="O6" t="str">
        <f t="shared" si="5"/>
        <v>630000</v>
      </c>
      <c r="P6" t="str">
        <f t="shared" si="0"/>
        <v>70000</v>
      </c>
      <c r="Q6" t="str">
        <f t="shared" si="0"/>
        <v>6A0000</v>
      </c>
      <c r="S6" t="str">
        <f t="shared" si="6"/>
        <v>spiffs,data,spiffs,0x630000,0x70000</v>
      </c>
    </row>
    <row r="7" spans="1:19" x14ac:dyDescent="0.3">
      <c r="A7" s="3" t="s">
        <v>13</v>
      </c>
      <c r="B7" s="3" t="s">
        <v>6</v>
      </c>
      <c r="C7" s="3" t="s">
        <v>13</v>
      </c>
      <c r="D7" s="4" t="s">
        <v>16</v>
      </c>
      <c r="E7" s="4">
        <v>10000</v>
      </c>
      <c r="F7" s="1"/>
      <c r="G7">
        <f t="shared" si="1"/>
        <v>4128768</v>
      </c>
      <c r="H7">
        <f t="shared" si="2"/>
        <v>65536</v>
      </c>
      <c r="I7">
        <f t="shared" si="3"/>
        <v>4194304</v>
      </c>
      <c r="K7">
        <f t="shared" si="7"/>
        <v>6946816</v>
      </c>
      <c r="L7">
        <v>65536</v>
      </c>
      <c r="M7">
        <f t="shared" si="4"/>
        <v>7012352</v>
      </c>
      <c r="O7" t="str">
        <f t="shared" si="5"/>
        <v>6A0000</v>
      </c>
      <c r="P7" t="str">
        <f t="shared" si="0"/>
        <v>10000</v>
      </c>
      <c r="Q7" t="str">
        <f t="shared" si="0"/>
        <v>6B0000</v>
      </c>
      <c r="S7" t="str">
        <f t="shared" si="6"/>
        <v>coredump,data,coredump,0x6A0000,0x10000</v>
      </c>
    </row>
    <row r="12" spans="1:19" x14ac:dyDescent="0.3">
      <c r="E12" s="4">
        <v>600000</v>
      </c>
      <c r="F12">
        <f>HEX2DEC(E12)</f>
        <v>6291456</v>
      </c>
    </row>
    <row r="13" spans="1:19" x14ac:dyDescent="0.3">
      <c r="E13" t="str">
        <f>DEC2HEX(F13)</f>
        <v>70000</v>
      </c>
      <c r="F13">
        <f>H6/2</f>
        <v>458752</v>
      </c>
    </row>
    <row r="16" spans="1:19" x14ac:dyDescent="0.3">
      <c r="E16" t="str">
        <f>DEC2HEX(F16)</f>
        <v>31EF21</v>
      </c>
      <c r="F16">
        <v>3272481</v>
      </c>
    </row>
    <row r="17" spans="5:6" x14ac:dyDescent="0.3">
      <c r="E17" s="4">
        <v>400000</v>
      </c>
      <c r="F17">
        <f>HEX2DEC(E17)</f>
        <v>4194304</v>
      </c>
    </row>
  </sheetData>
  <pageMargins left="0.7" right="0.7" top="0.75" bottom="0.75" header="0.3" footer="0.3"/>
  <headerFooter>
    <oddFooter>&amp;C_x000D_&amp;1#&amp;"Calibri"&amp;10&amp;K0078D7 C1 - Interne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3F94-05DE-4420-AE63-61BC0EDA3BE4}">
  <dimension ref="C7:S8"/>
  <sheetViews>
    <sheetView workbookViewId="0">
      <selection activeCell="O12" sqref="O12"/>
    </sheetView>
  </sheetViews>
  <sheetFormatPr baseColWidth="10" defaultColWidth="9.109375" defaultRowHeight="14.4" x14ac:dyDescent="0.3"/>
  <sheetData>
    <row r="7" spans="3:19" x14ac:dyDescent="0.3">
      <c r="D7" s="12" t="s">
        <v>29</v>
      </c>
      <c r="E7" s="12"/>
      <c r="H7" s="12" t="s">
        <v>30</v>
      </c>
      <c r="I7" s="12"/>
      <c r="J7" s="12" t="s">
        <v>31</v>
      </c>
      <c r="K7" s="12"/>
      <c r="N7" s="12" t="s">
        <v>32</v>
      </c>
      <c r="O7" s="12"/>
      <c r="P7" s="12" t="s">
        <v>33</v>
      </c>
      <c r="Q7" s="12"/>
      <c r="R7" s="12" t="s">
        <v>34</v>
      </c>
      <c r="S7" s="12"/>
    </row>
    <row r="8" spans="3:19" x14ac:dyDescent="0.3">
      <c r="C8" s="15" t="s">
        <v>35</v>
      </c>
      <c r="D8" s="13"/>
      <c r="E8" s="13" t="s">
        <v>36</v>
      </c>
      <c r="F8" s="13"/>
      <c r="G8" s="13" t="s">
        <v>37</v>
      </c>
      <c r="H8" s="13"/>
      <c r="I8" s="13" t="s">
        <v>38</v>
      </c>
      <c r="J8" s="13"/>
      <c r="K8" s="13" t="s">
        <v>39</v>
      </c>
      <c r="L8" s="13"/>
      <c r="M8" s="13" t="s">
        <v>40</v>
      </c>
      <c r="N8" s="13"/>
      <c r="O8" s="13" t="s">
        <v>41</v>
      </c>
      <c r="P8" s="13"/>
      <c r="Q8" s="14" t="s">
        <v>42</v>
      </c>
      <c r="R8" s="13"/>
    </row>
  </sheetData>
  <mergeCells count="14">
    <mergeCell ref="O8:P8"/>
    <mergeCell ref="Q8:R8"/>
    <mergeCell ref="C8:D8"/>
    <mergeCell ref="E8:F8"/>
    <mergeCell ref="G8:H8"/>
    <mergeCell ref="I8:J8"/>
    <mergeCell ref="K8:L8"/>
    <mergeCell ref="M8:N8"/>
    <mergeCell ref="R7:S7"/>
    <mergeCell ref="D7:E7"/>
    <mergeCell ref="H7:I7"/>
    <mergeCell ref="J7:K7"/>
    <mergeCell ref="N7:O7"/>
    <mergeCell ref="P7:Q7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1C5B-C19F-4365-ADC1-312D819F7FFD}">
  <dimension ref="A1:E6"/>
  <sheetViews>
    <sheetView workbookViewId="0">
      <selection activeCell="B7" sqref="B7"/>
    </sheetView>
  </sheetViews>
  <sheetFormatPr baseColWidth="10" defaultRowHeight="14.4" x14ac:dyDescent="0.3"/>
  <cols>
    <col min="1" max="1" width="38.109375" customWidth="1"/>
    <col min="2" max="2" width="15.109375" customWidth="1"/>
    <col min="5" max="5" width="29.88671875" customWidth="1"/>
  </cols>
  <sheetData>
    <row r="1" spans="1:5" x14ac:dyDescent="0.3">
      <c r="A1" s="7" t="s">
        <v>26</v>
      </c>
      <c r="B1" s="7" t="s">
        <v>21</v>
      </c>
      <c r="C1" s="7" t="s">
        <v>24</v>
      </c>
      <c r="D1" s="7" t="s">
        <v>22</v>
      </c>
      <c r="E1" s="7" t="s">
        <v>25</v>
      </c>
    </row>
    <row r="2" spans="1:5" x14ac:dyDescent="0.3">
      <c r="A2" t="s">
        <v>18</v>
      </c>
      <c r="B2">
        <v>22050</v>
      </c>
      <c r="C2" t="s">
        <v>19</v>
      </c>
      <c r="D2" t="s">
        <v>23</v>
      </c>
    </row>
    <row r="3" spans="1:5" x14ac:dyDescent="0.3">
      <c r="A3" t="s">
        <v>43</v>
      </c>
      <c r="B3">
        <v>1024</v>
      </c>
      <c r="C3" t="s">
        <v>20</v>
      </c>
      <c r="D3" t="s">
        <v>46</v>
      </c>
    </row>
    <row r="5" spans="1:5" x14ac:dyDescent="0.3">
      <c r="A5" t="s">
        <v>45</v>
      </c>
      <c r="B5" s="5">
        <f>B3/B2*1000</f>
        <v>46.439909297052154</v>
      </c>
      <c r="C5" t="s">
        <v>27</v>
      </c>
      <c r="D5" s="8" t="s">
        <v>28</v>
      </c>
      <c r="E5" s="8" t="s">
        <v>47</v>
      </c>
    </row>
    <row r="6" spans="1:5" x14ac:dyDescent="0.3">
      <c r="A6" t="s">
        <v>44</v>
      </c>
      <c r="B6" s="6">
        <f>1/B5*1000</f>
        <v>21.533203125</v>
      </c>
      <c r="C6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8A09E-83A9-49D0-BB4F-DD5E75677DB4}">
  <dimension ref="A1:D178"/>
  <sheetViews>
    <sheetView topLeftCell="A156" workbookViewId="0">
      <selection activeCell="B170" sqref="B170"/>
    </sheetView>
  </sheetViews>
  <sheetFormatPr baseColWidth="10" defaultRowHeight="14.4" x14ac:dyDescent="0.3"/>
  <cols>
    <col min="1" max="1" width="21" bestFit="1" customWidth="1"/>
    <col min="2" max="2" width="20" customWidth="1"/>
    <col min="3" max="4" width="21" bestFit="1" customWidth="1"/>
  </cols>
  <sheetData>
    <row r="1" spans="1:4" ht="43.2" x14ac:dyDescent="0.3">
      <c r="A1" s="9" t="s">
        <v>53</v>
      </c>
      <c r="B1" s="9" t="s">
        <v>55</v>
      </c>
      <c r="C1" s="9" t="s">
        <v>54</v>
      </c>
      <c r="D1" s="9" t="s">
        <v>56</v>
      </c>
    </row>
    <row r="3" spans="1:4" x14ac:dyDescent="0.3">
      <c r="A3" s="10" t="s">
        <v>51</v>
      </c>
      <c r="B3" s="11" t="s">
        <v>52</v>
      </c>
      <c r="C3" s="10" t="s">
        <v>51</v>
      </c>
    </row>
    <row r="4" spans="1:4" x14ac:dyDescent="0.3">
      <c r="A4" t="s">
        <v>49</v>
      </c>
      <c r="B4" t="s">
        <v>49</v>
      </c>
      <c r="C4" t="s">
        <v>49</v>
      </c>
      <c r="D4" t="s">
        <v>49</v>
      </c>
    </row>
    <row r="5" spans="1:4" x14ac:dyDescent="0.3">
      <c r="A5" t="s">
        <v>50</v>
      </c>
      <c r="B5" t="s">
        <v>50</v>
      </c>
      <c r="C5" t="s">
        <v>50</v>
      </c>
      <c r="D5" t="s">
        <v>50</v>
      </c>
    </row>
    <row r="6" spans="1:4" x14ac:dyDescent="0.3">
      <c r="A6">
        <v>29</v>
      </c>
      <c r="B6">
        <v>32</v>
      </c>
      <c r="C6">
        <v>33</v>
      </c>
      <c r="D6">
        <v>38</v>
      </c>
    </row>
    <row r="7" spans="1:4" x14ac:dyDescent="0.3">
      <c r="A7">
        <v>11</v>
      </c>
      <c r="B7">
        <v>11</v>
      </c>
      <c r="C7">
        <v>13</v>
      </c>
      <c r="D7">
        <v>11</v>
      </c>
    </row>
    <row r="8" spans="1:4" x14ac:dyDescent="0.3">
      <c r="A8">
        <v>12</v>
      </c>
      <c r="B8">
        <v>11</v>
      </c>
      <c r="C8">
        <v>13</v>
      </c>
      <c r="D8">
        <v>13</v>
      </c>
    </row>
    <row r="9" spans="1:4" x14ac:dyDescent="0.3">
      <c r="A9">
        <v>11</v>
      </c>
      <c r="B9">
        <v>15</v>
      </c>
      <c r="C9">
        <v>15</v>
      </c>
      <c r="D9">
        <v>11</v>
      </c>
    </row>
    <row r="10" spans="1:4" x14ac:dyDescent="0.3">
      <c r="A10">
        <v>11</v>
      </c>
      <c r="B10">
        <v>12</v>
      </c>
      <c r="C10">
        <v>14</v>
      </c>
      <c r="D10">
        <v>12</v>
      </c>
    </row>
    <row r="11" spans="1:4" x14ac:dyDescent="0.3">
      <c r="A11">
        <v>16</v>
      </c>
      <c r="B11">
        <v>11</v>
      </c>
      <c r="C11">
        <v>15</v>
      </c>
      <c r="D11">
        <v>16</v>
      </c>
    </row>
    <row r="12" spans="1:4" x14ac:dyDescent="0.3">
      <c r="A12">
        <v>12</v>
      </c>
      <c r="B12">
        <v>15</v>
      </c>
      <c r="C12">
        <v>14</v>
      </c>
      <c r="D12">
        <v>15</v>
      </c>
    </row>
    <row r="13" spans="1:4" x14ac:dyDescent="0.3">
      <c r="A13">
        <v>13</v>
      </c>
      <c r="B13">
        <v>18</v>
      </c>
      <c r="C13">
        <v>15</v>
      </c>
      <c r="D13">
        <v>13</v>
      </c>
    </row>
    <row r="14" spans="1:4" x14ac:dyDescent="0.3">
      <c r="A14">
        <v>9</v>
      </c>
      <c r="B14">
        <v>13</v>
      </c>
      <c r="C14">
        <v>13</v>
      </c>
      <c r="D14">
        <v>14</v>
      </c>
    </row>
    <row r="15" spans="1:4" x14ac:dyDescent="0.3">
      <c r="A15">
        <v>11</v>
      </c>
      <c r="B15">
        <v>14</v>
      </c>
      <c r="C15">
        <v>13</v>
      </c>
      <c r="D15">
        <v>13</v>
      </c>
    </row>
    <row r="16" spans="1:4" x14ac:dyDescent="0.3">
      <c r="A16">
        <v>11</v>
      </c>
      <c r="B16">
        <v>13</v>
      </c>
      <c r="C16">
        <v>16</v>
      </c>
      <c r="D16">
        <v>15</v>
      </c>
    </row>
    <row r="17" spans="1:4" x14ac:dyDescent="0.3">
      <c r="A17">
        <v>31296</v>
      </c>
      <c r="B17">
        <v>15</v>
      </c>
      <c r="C17">
        <v>32</v>
      </c>
      <c r="D17">
        <v>14</v>
      </c>
    </row>
    <row r="18" spans="1:4" x14ac:dyDescent="0.3">
      <c r="A18">
        <v>11</v>
      </c>
      <c r="B18">
        <v>13</v>
      </c>
      <c r="C18">
        <v>11</v>
      </c>
      <c r="D18">
        <v>14</v>
      </c>
    </row>
    <row r="19" spans="1:4" x14ac:dyDescent="0.3">
      <c r="A19">
        <v>10</v>
      </c>
      <c r="B19">
        <v>14</v>
      </c>
      <c r="C19">
        <v>13</v>
      </c>
      <c r="D19">
        <v>13</v>
      </c>
    </row>
    <row r="20" spans="1:4" x14ac:dyDescent="0.3">
      <c r="A20">
        <v>11</v>
      </c>
      <c r="B20">
        <v>13</v>
      </c>
      <c r="C20">
        <v>12</v>
      </c>
      <c r="D20">
        <v>15</v>
      </c>
    </row>
    <row r="21" spans="1:4" x14ac:dyDescent="0.3">
      <c r="A21">
        <v>40976</v>
      </c>
      <c r="B21">
        <v>15</v>
      </c>
      <c r="C21">
        <v>15</v>
      </c>
      <c r="D21">
        <v>14</v>
      </c>
    </row>
    <row r="22" spans="1:4" x14ac:dyDescent="0.3">
      <c r="A22">
        <v>21</v>
      </c>
      <c r="B22">
        <v>13</v>
      </c>
      <c r="C22">
        <v>11</v>
      </c>
      <c r="D22">
        <v>13</v>
      </c>
    </row>
    <row r="23" spans="1:4" x14ac:dyDescent="0.3">
      <c r="A23">
        <v>12</v>
      </c>
      <c r="B23">
        <v>13</v>
      </c>
      <c r="C23">
        <v>14</v>
      </c>
      <c r="D23">
        <v>15</v>
      </c>
    </row>
    <row r="24" spans="1:4" x14ac:dyDescent="0.3">
      <c r="A24">
        <v>11</v>
      </c>
      <c r="B24">
        <v>15</v>
      </c>
      <c r="C24">
        <v>11</v>
      </c>
      <c r="D24">
        <v>15</v>
      </c>
    </row>
    <row r="25" spans="1:4" x14ac:dyDescent="0.3">
      <c r="A25">
        <v>40459</v>
      </c>
      <c r="B25">
        <v>16</v>
      </c>
      <c r="C25">
        <v>15</v>
      </c>
      <c r="D25">
        <v>13</v>
      </c>
    </row>
    <row r="26" spans="1:4" x14ac:dyDescent="0.3">
      <c r="A26">
        <v>11</v>
      </c>
      <c r="B26">
        <v>13</v>
      </c>
      <c r="C26">
        <v>12</v>
      </c>
      <c r="D26">
        <v>14</v>
      </c>
    </row>
    <row r="27" spans="1:4" x14ac:dyDescent="0.3">
      <c r="A27">
        <v>12</v>
      </c>
      <c r="B27">
        <v>15</v>
      </c>
      <c r="C27">
        <v>13</v>
      </c>
      <c r="D27">
        <v>13</v>
      </c>
    </row>
    <row r="28" spans="1:4" x14ac:dyDescent="0.3">
      <c r="A28">
        <v>12</v>
      </c>
      <c r="B28">
        <v>21</v>
      </c>
      <c r="C28">
        <v>12</v>
      </c>
      <c r="D28">
        <v>22</v>
      </c>
    </row>
    <row r="29" spans="1:4" x14ac:dyDescent="0.3">
      <c r="A29">
        <v>40945</v>
      </c>
      <c r="B29">
        <v>15</v>
      </c>
      <c r="C29">
        <v>15</v>
      </c>
      <c r="D29">
        <v>14</v>
      </c>
    </row>
    <row r="30" spans="1:4" x14ac:dyDescent="0.3">
      <c r="A30">
        <v>11</v>
      </c>
      <c r="B30">
        <v>20</v>
      </c>
      <c r="C30">
        <v>11</v>
      </c>
      <c r="D30">
        <v>13</v>
      </c>
    </row>
    <row r="31" spans="1:4" x14ac:dyDescent="0.3">
      <c r="A31">
        <v>11</v>
      </c>
      <c r="B31">
        <v>14</v>
      </c>
      <c r="C31">
        <v>14</v>
      </c>
      <c r="D31">
        <v>13</v>
      </c>
    </row>
    <row r="32" spans="1:4" x14ac:dyDescent="0.3">
      <c r="A32">
        <v>12</v>
      </c>
      <c r="B32">
        <v>13</v>
      </c>
      <c r="C32">
        <v>12</v>
      </c>
      <c r="D32">
        <v>15</v>
      </c>
    </row>
    <row r="33" spans="1:4" x14ac:dyDescent="0.3">
      <c r="A33">
        <v>40940</v>
      </c>
      <c r="B33">
        <v>15</v>
      </c>
      <c r="C33">
        <v>15</v>
      </c>
      <c r="D33">
        <v>14</v>
      </c>
    </row>
    <row r="34" spans="1:4" x14ac:dyDescent="0.3">
      <c r="A34">
        <v>12</v>
      </c>
      <c r="B34">
        <v>14</v>
      </c>
      <c r="C34">
        <v>12</v>
      </c>
      <c r="D34">
        <v>13</v>
      </c>
    </row>
    <row r="35" spans="1:4" x14ac:dyDescent="0.3">
      <c r="A35">
        <v>11</v>
      </c>
      <c r="B35">
        <v>13</v>
      </c>
      <c r="C35">
        <v>13</v>
      </c>
      <c r="D35">
        <v>13</v>
      </c>
    </row>
    <row r="36" spans="1:4" x14ac:dyDescent="0.3">
      <c r="A36">
        <v>9</v>
      </c>
      <c r="B36">
        <v>13</v>
      </c>
      <c r="C36">
        <v>12</v>
      </c>
      <c r="D36">
        <v>17</v>
      </c>
    </row>
    <row r="37" spans="1:4" x14ac:dyDescent="0.3">
      <c r="A37">
        <v>40857</v>
      </c>
      <c r="B37">
        <v>15</v>
      </c>
      <c r="C37">
        <v>15</v>
      </c>
      <c r="D37">
        <v>16</v>
      </c>
    </row>
    <row r="38" spans="1:4" x14ac:dyDescent="0.3">
      <c r="A38">
        <v>12</v>
      </c>
      <c r="B38">
        <v>13</v>
      </c>
      <c r="C38">
        <v>11</v>
      </c>
      <c r="D38">
        <v>13</v>
      </c>
    </row>
    <row r="39" spans="1:4" x14ac:dyDescent="0.3">
      <c r="A39">
        <v>9</v>
      </c>
      <c r="B39">
        <v>13</v>
      </c>
      <c r="C39">
        <v>13</v>
      </c>
      <c r="D39">
        <v>13</v>
      </c>
    </row>
    <row r="40" spans="1:4" x14ac:dyDescent="0.3">
      <c r="A40">
        <v>12</v>
      </c>
      <c r="B40">
        <v>16</v>
      </c>
      <c r="C40">
        <v>12</v>
      </c>
      <c r="D40">
        <v>15</v>
      </c>
    </row>
    <row r="41" spans="1:4" x14ac:dyDescent="0.3">
      <c r="A41">
        <v>40955</v>
      </c>
      <c r="B41">
        <v>16</v>
      </c>
      <c r="C41">
        <v>15</v>
      </c>
      <c r="D41">
        <v>15</v>
      </c>
    </row>
    <row r="42" spans="1:4" x14ac:dyDescent="0.3">
      <c r="A42">
        <v>13</v>
      </c>
      <c r="B42">
        <v>17</v>
      </c>
      <c r="C42">
        <v>14</v>
      </c>
      <c r="D42">
        <v>14</v>
      </c>
    </row>
    <row r="43" spans="1:4" x14ac:dyDescent="0.3">
      <c r="A43">
        <v>11</v>
      </c>
      <c r="B43">
        <v>14</v>
      </c>
      <c r="C43">
        <v>13</v>
      </c>
      <c r="D43">
        <v>13</v>
      </c>
    </row>
    <row r="44" spans="1:4" x14ac:dyDescent="0.3">
      <c r="A44">
        <v>11</v>
      </c>
      <c r="B44">
        <v>15</v>
      </c>
      <c r="C44">
        <v>11</v>
      </c>
      <c r="D44">
        <v>15</v>
      </c>
    </row>
    <row r="45" spans="1:4" x14ac:dyDescent="0.3">
      <c r="A45">
        <v>40964</v>
      </c>
      <c r="B45">
        <v>15</v>
      </c>
      <c r="C45">
        <v>15</v>
      </c>
      <c r="D45">
        <v>14</v>
      </c>
    </row>
    <row r="46" spans="1:4" x14ac:dyDescent="0.3">
      <c r="A46">
        <v>20</v>
      </c>
      <c r="B46">
        <v>13</v>
      </c>
      <c r="C46">
        <v>12</v>
      </c>
      <c r="D46">
        <v>14</v>
      </c>
    </row>
    <row r="47" spans="1:4" x14ac:dyDescent="0.3">
      <c r="A47">
        <v>18</v>
      </c>
      <c r="B47">
        <v>14</v>
      </c>
      <c r="C47">
        <v>32</v>
      </c>
      <c r="D47">
        <v>13</v>
      </c>
    </row>
    <row r="48" spans="1:4" x14ac:dyDescent="0.3">
      <c r="A48">
        <v>18</v>
      </c>
      <c r="B48">
        <v>13</v>
      </c>
      <c r="C48">
        <v>18</v>
      </c>
      <c r="D48">
        <v>15</v>
      </c>
    </row>
    <row r="49" spans="1:4" x14ac:dyDescent="0.3">
      <c r="A49">
        <v>40024</v>
      </c>
      <c r="B49">
        <v>15</v>
      </c>
      <c r="C49">
        <v>15</v>
      </c>
      <c r="D49">
        <v>13</v>
      </c>
    </row>
    <row r="50" spans="1:4" x14ac:dyDescent="0.3">
      <c r="A50">
        <v>11</v>
      </c>
      <c r="B50">
        <v>14</v>
      </c>
      <c r="C50">
        <v>13</v>
      </c>
      <c r="D50">
        <v>14</v>
      </c>
    </row>
    <row r="51" spans="1:4" x14ac:dyDescent="0.3">
      <c r="A51">
        <v>11</v>
      </c>
      <c r="B51">
        <v>14</v>
      </c>
      <c r="C51">
        <v>13</v>
      </c>
      <c r="D51">
        <v>14</v>
      </c>
    </row>
    <row r="52" spans="1:4" x14ac:dyDescent="0.3">
      <c r="A52">
        <v>11</v>
      </c>
      <c r="B52">
        <v>13</v>
      </c>
      <c r="C52">
        <v>14</v>
      </c>
      <c r="D52">
        <v>15</v>
      </c>
    </row>
    <row r="53" spans="1:4" x14ac:dyDescent="0.3">
      <c r="A53">
        <v>40954</v>
      </c>
      <c r="B53">
        <v>15</v>
      </c>
      <c r="C53">
        <v>15</v>
      </c>
      <c r="D53">
        <v>14</v>
      </c>
    </row>
    <row r="54" spans="1:4" x14ac:dyDescent="0.3">
      <c r="A54">
        <v>18</v>
      </c>
      <c r="B54">
        <v>13</v>
      </c>
      <c r="C54">
        <v>13</v>
      </c>
      <c r="D54">
        <v>13</v>
      </c>
    </row>
    <row r="55" spans="1:4" x14ac:dyDescent="0.3">
      <c r="A55">
        <v>12</v>
      </c>
      <c r="B55">
        <v>16</v>
      </c>
      <c r="C55">
        <v>13</v>
      </c>
      <c r="D55">
        <v>14</v>
      </c>
    </row>
    <row r="56" spans="1:4" x14ac:dyDescent="0.3">
      <c r="A56">
        <v>11</v>
      </c>
      <c r="B56">
        <v>15</v>
      </c>
      <c r="C56">
        <v>13</v>
      </c>
      <c r="D56">
        <v>15</v>
      </c>
    </row>
    <row r="57" spans="1:4" x14ac:dyDescent="0.3">
      <c r="A57">
        <v>40736</v>
      </c>
      <c r="B57">
        <v>15</v>
      </c>
      <c r="C57">
        <v>3423</v>
      </c>
      <c r="D57">
        <v>13</v>
      </c>
    </row>
    <row r="58" spans="1:4" x14ac:dyDescent="0.3">
      <c r="A58">
        <v>11</v>
      </c>
      <c r="B58">
        <v>15</v>
      </c>
      <c r="C58">
        <v>13</v>
      </c>
      <c r="D58">
        <v>14</v>
      </c>
    </row>
    <row r="59" spans="1:4" x14ac:dyDescent="0.3">
      <c r="A59">
        <v>11</v>
      </c>
      <c r="B59">
        <v>17</v>
      </c>
      <c r="C59">
        <v>13</v>
      </c>
      <c r="D59">
        <v>13</v>
      </c>
    </row>
    <row r="60" spans="1:4" x14ac:dyDescent="0.3">
      <c r="A60">
        <v>11</v>
      </c>
      <c r="B60">
        <v>14</v>
      </c>
      <c r="C60">
        <v>13</v>
      </c>
      <c r="D60">
        <v>15</v>
      </c>
    </row>
    <row r="61" spans="1:4" x14ac:dyDescent="0.3">
      <c r="A61">
        <v>40921</v>
      </c>
      <c r="B61">
        <v>15</v>
      </c>
      <c r="C61">
        <v>10266</v>
      </c>
      <c r="D61">
        <v>13</v>
      </c>
    </row>
    <row r="62" spans="1:4" x14ac:dyDescent="0.3">
      <c r="A62">
        <v>12</v>
      </c>
      <c r="B62">
        <v>14</v>
      </c>
      <c r="C62">
        <v>13</v>
      </c>
      <c r="D62">
        <v>13</v>
      </c>
    </row>
    <row r="63" spans="1:4" x14ac:dyDescent="0.3">
      <c r="A63">
        <v>12</v>
      </c>
      <c r="B63">
        <v>14</v>
      </c>
      <c r="C63">
        <v>13</v>
      </c>
      <c r="D63">
        <v>13</v>
      </c>
    </row>
    <row r="64" spans="1:4" x14ac:dyDescent="0.3">
      <c r="A64">
        <v>12</v>
      </c>
      <c r="B64">
        <v>13</v>
      </c>
      <c r="C64">
        <v>14</v>
      </c>
      <c r="D64">
        <v>15</v>
      </c>
    </row>
    <row r="65" spans="1:4" x14ac:dyDescent="0.3">
      <c r="A65">
        <v>40930</v>
      </c>
      <c r="B65">
        <v>15</v>
      </c>
      <c r="C65">
        <v>14945</v>
      </c>
      <c r="D65">
        <v>14</v>
      </c>
    </row>
    <row r="66" spans="1:4" x14ac:dyDescent="0.3">
      <c r="A66">
        <v>11</v>
      </c>
      <c r="B66">
        <v>13</v>
      </c>
      <c r="C66">
        <v>14</v>
      </c>
      <c r="D66">
        <v>16</v>
      </c>
    </row>
    <row r="67" spans="1:4" x14ac:dyDescent="0.3">
      <c r="A67">
        <v>11</v>
      </c>
      <c r="B67">
        <v>14</v>
      </c>
      <c r="C67">
        <v>14</v>
      </c>
      <c r="D67">
        <v>16</v>
      </c>
    </row>
    <row r="68" spans="1:4" x14ac:dyDescent="0.3">
      <c r="A68">
        <v>12</v>
      </c>
      <c r="B68">
        <v>14</v>
      </c>
      <c r="C68">
        <v>14</v>
      </c>
      <c r="D68">
        <v>15</v>
      </c>
    </row>
    <row r="69" spans="1:4" x14ac:dyDescent="0.3">
      <c r="A69">
        <v>40870</v>
      </c>
      <c r="B69">
        <v>15</v>
      </c>
      <c r="C69">
        <v>14960</v>
      </c>
      <c r="D69">
        <v>14</v>
      </c>
    </row>
    <row r="70" spans="1:4" x14ac:dyDescent="0.3">
      <c r="A70">
        <v>16</v>
      </c>
      <c r="B70">
        <v>15</v>
      </c>
      <c r="C70">
        <v>13</v>
      </c>
      <c r="D70">
        <v>14</v>
      </c>
    </row>
    <row r="71" spans="1:4" x14ac:dyDescent="0.3">
      <c r="A71">
        <v>12</v>
      </c>
      <c r="B71">
        <v>14</v>
      </c>
      <c r="C71">
        <v>16</v>
      </c>
      <c r="D71">
        <v>14</v>
      </c>
    </row>
    <row r="72" spans="1:4" x14ac:dyDescent="0.3">
      <c r="A72">
        <v>11</v>
      </c>
      <c r="B72">
        <v>14</v>
      </c>
      <c r="C72">
        <v>14</v>
      </c>
      <c r="D72">
        <v>17</v>
      </c>
    </row>
    <row r="73" spans="1:4" x14ac:dyDescent="0.3">
      <c r="A73">
        <v>40895</v>
      </c>
      <c r="B73">
        <v>32</v>
      </c>
      <c r="C73">
        <v>14887</v>
      </c>
      <c r="D73">
        <v>15</v>
      </c>
    </row>
    <row r="74" spans="1:4" x14ac:dyDescent="0.3">
      <c r="A74">
        <v>17</v>
      </c>
      <c r="B74">
        <v>14</v>
      </c>
      <c r="C74">
        <v>13</v>
      </c>
      <c r="D74">
        <v>13</v>
      </c>
    </row>
    <row r="75" spans="1:4" x14ac:dyDescent="0.3">
      <c r="A75">
        <v>11</v>
      </c>
      <c r="B75">
        <v>13</v>
      </c>
      <c r="C75">
        <v>19</v>
      </c>
      <c r="D75">
        <v>13</v>
      </c>
    </row>
    <row r="76" spans="1:4" x14ac:dyDescent="0.3">
      <c r="A76">
        <v>11</v>
      </c>
      <c r="B76">
        <v>13</v>
      </c>
      <c r="C76">
        <v>13</v>
      </c>
      <c r="D76">
        <v>15</v>
      </c>
    </row>
    <row r="77" spans="1:4" x14ac:dyDescent="0.3">
      <c r="A77">
        <v>40797</v>
      </c>
      <c r="B77">
        <v>15</v>
      </c>
      <c r="C77">
        <v>14779</v>
      </c>
      <c r="D77">
        <v>13</v>
      </c>
    </row>
    <row r="78" spans="1:4" x14ac:dyDescent="0.3">
      <c r="A78">
        <v>11</v>
      </c>
      <c r="B78">
        <v>16</v>
      </c>
      <c r="C78">
        <v>14</v>
      </c>
      <c r="D78">
        <v>14</v>
      </c>
    </row>
    <row r="79" spans="1:4" x14ac:dyDescent="0.3">
      <c r="A79">
        <v>12</v>
      </c>
      <c r="B79">
        <v>14</v>
      </c>
      <c r="C79">
        <v>14</v>
      </c>
      <c r="D79">
        <v>13</v>
      </c>
    </row>
    <row r="80" spans="1:4" x14ac:dyDescent="0.3">
      <c r="A80">
        <v>11</v>
      </c>
      <c r="B80">
        <v>13</v>
      </c>
      <c r="C80">
        <v>13</v>
      </c>
      <c r="D80">
        <v>1983</v>
      </c>
    </row>
    <row r="81" spans="1:4" x14ac:dyDescent="0.3">
      <c r="A81">
        <v>40946</v>
      </c>
      <c r="B81">
        <v>15</v>
      </c>
      <c r="C81">
        <v>14955</v>
      </c>
      <c r="D81">
        <v>14</v>
      </c>
    </row>
    <row r="82" spans="1:4" x14ac:dyDescent="0.3">
      <c r="A82">
        <v>11</v>
      </c>
      <c r="B82">
        <v>14</v>
      </c>
      <c r="C82">
        <v>13</v>
      </c>
      <c r="D82">
        <v>14</v>
      </c>
    </row>
    <row r="83" spans="1:4" x14ac:dyDescent="0.3">
      <c r="A83">
        <v>11</v>
      </c>
      <c r="B83">
        <v>13</v>
      </c>
      <c r="C83">
        <v>13</v>
      </c>
      <c r="D83">
        <v>13</v>
      </c>
    </row>
    <row r="84" spans="1:4" x14ac:dyDescent="0.3">
      <c r="A84">
        <v>12</v>
      </c>
      <c r="B84">
        <v>14</v>
      </c>
      <c r="C84">
        <v>13</v>
      </c>
      <c r="D84">
        <v>8470</v>
      </c>
    </row>
    <row r="85" spans="1:4" x14ac:dyDescent="0.3">
      <c r="A85">
        <v>40943</v>
      </c>
      <c r="B85">
        <v>15</v>
      </c>
      <c r="C85">
        <v>14945</v>
      </c>
      <c r="D85">
        <v>13</v>
      </c>
    </row>
    <row r="86" spans="1:4" x14ac:dyDescent="0.3">
      <c r="A86">
        <v>12</v>
      </c>
      <c r="B86">
        <v>16</v>
      </c>
      <c r="C86">
        <v>13</v>
      </c>
      <c r="D86">
        <v>14</v>
      </c>
    </row>
    <row r="87" spans="1:4" x14ac:dyDescent="0.3">
      <c r="A87">
        <v>11</v>
      </c>
      <c r="B87">
        <v>13</v>
      </c>
      <c r="C87">
        <v>14</v>
      </c>
      <c r="D87">
        <v>13</v>
      </c>
    </row>
    <row r="88" spans="1:4" x14ac:dyDescent="0.3">
      <c r="A88">
        <v>11</v>
      </c>
      <c r="B88">
        <v>17</v>
      </c>
      <c r="C88">
        <v>14</v>
      </c>
      <c r="D88">
        <v>14962</v>
      </c>
    </row>
    <row r="89" spans="1:4" x14ac:dyDescent="0.3">
      <c r="A89">
        <v>40940</v>
      </c>
      <c r="B89">
        <v>20</v>
      </c>
      <c r="C89">
        <v>14953</v>
      </c>
      <c r="D89">
        <v>14</v>
      </c>
    </row>
    <row r="90" spans="1:4" x14ac:dyDescent="0.3">
      <c r="A90">
        <v>11</v>
      </c>
      <c r="B90">
        <v>13</v>
      </c>
      <c r="C90">
        <v>14</v>
      </c>
      <c r="D90">
        <v>14</v>
      </c>
    </row>
    <row r="91" spans="1:4" x14ac:dyDescent="0.3">
      <c r="A91">
        <v>11</v>
      </c>
      <c r="B91">
        <v>13</v>
      </c>
      <c r="C91">
        <v>14</v>
      </c>
      <c r="D91">
        <v>13</v>
      </c>
    </row>
    <row r="92" spans="1:4" x14ac:dyDescent="0.3">
      <c r="A92">
        <v>12</v>
      </c>
      <c r="B92">
        <v>14</v>
      </c>
      <c r="C92">
        <v>13</v>
      </c>
      <c r="D92">
        <v>14952</v>
      </c>
    </row>
    <row r="93" spans="1:4" x14ac:dyDescent="0.3">
      <c r="A93">
        <v>40950</v>
      </c>
      <c r="B93">
        <v>15</v>
      </c>
      <c r="C93">
        <v>14909</v>
      </c>
      <c r="D93">
        <v>16</v>
      </c>
    </row>
    <row r="94" spans="1:4" x14ac:dyDescent="0.3">
      <c r="A94">
        <v>16</v>
      </c>
      <c r="B94">
        <v>13</v>
      </c>
      <c r="C94">
        <v>13</v>
      </c>
      <c r="D94">
        <v>13</v>
      </c>
    </row>
    <row r="95" spans="1:4" x14ac:dyDescent="0.3">
      <c r="A95">
        <v>11</v>
      </c>
      <c r="B95">
        <v>13</v>
      </c>
      <c r="C95">
        <v>13</v>
      </c>
      <c r="D95">
        <v>13</v>
      </c>
    </row>
    <row r="96" spans="1:4" x14ac:dyDescent="0.3">
      <c r="A96">
        <v>11</v>
      </c>
      <c r="B96">
        <v>13</v>
      </c>
      <c r="C96">
        <v>13</v>
      </c>
      <c r="D96">
        <v>14825</v>
      </c>
    </row>
    <row r="97" spans="1:4" x14ac:dyDescent="0.3">
      <c r="A97">
        <v>40882</v>
      </c>
      <c r="B97">
        <v>15</v>
      </c>
      <c r="C97">
        <v>14917</v>
      </c>
      <c r="D97">
        <v>16</v>
      </c>
    </row>
    <row r="98" spans="1:4" x14ac:dyDescent="0.3">
      <c r="A98">
        <v>30</v>
      </c>
      <c r="B98">
        <v>14</v>
      </c>
      <c r="C98">
        <v>16</v>
      </c>
      <c r="D98">
        <v>13</v>
      </c>
    </row>
    <row r="99" spans="1:4" x14ac:dyDescent="0.3">
      <c r="A99">
        <v>16</v>
      </c>
      <c r="B99">
        <v>14</v>
      </c>
      <c r="C99">
        <v>13</v>
      </c>
      <c r="D99">
        <v>13</v>
      </c>
    </row>
    <row r="100" spans="1:4" x14ac:dyDescent="0.3">
      <c r="A100">
        <v>11</v>
      </c>
      <c r="B100">
        <v>13</v>
      </c>
      <c r="C100">
        <v>14</v>
      </c>
      <c r="D100">
        <v>14896</v>
      </c>
    </row>
    <row r="101" spans="1:4" x14ac:dyDescent="0.3">
      <c r="A101">
        <v>40258</v>
      </c>
      <c r="B101">
        <v>18</v>
      </c>
      <c r="C101">
        <v>14920</v>
      </c>
      <c r="D101">
        <v>14</v>
      </c>
    </row>
    <row r="102" spans="1:4" x14ac:dyDescent="0.3">
      <c r="A102">
        <v>13</v>
      </c>
      <c r="B102">
        <v>13</v>
      </c>
      <c r="C102">
        <v>25</v>
      </c>
      <c r="D102">
        <v>14</v>
      </c>
    </row>
    <row r="103" spans="1:4" x14ac:dyDescent="0.3">
      <c r="A103">
        <v>12</v>
      </c>
      <c r="B103">
        <v>13</v>
      </c>
      <c r="C103">
        <v>16</v>
      </c>
      <c r="D103">
        <v>14</v>
      </c>
    </row>
    <row r="104" spans="1:4" x14ac:dyDescent="0.3">
      <c r="A104">
        <v>11</v>
      </c>
      <c r="B104">
        <v>32</v>
      </c>
      <c r="C104">
        <v>13</v>
      </c>
      <c r="D104">
        <v>15780</v>
      </c>
    </row>
    <row r="105" spans="1:4" x14ac:dyDescent="0.3">
      <c r="A105">
        <v>40458</v>
      </c>
      <c r="B105">
        <v>15</v>
      </c>
      <c r="C105">
        <v>13932</v>
      </c>
      <c r="D105">
        <v>13</v>
      </c>
    </row>
    <row r="106" spans="1:4" x14ac:dyDescent="0.3">
      <c r="A106">
        <v>13</v>
      </c>
      <c r="B106">
        <v>13</v>
      </c>
      <c r="C106">
        <v>14</v>
      </c>
      <c r="D106">
        <v>13</v>
      </c>
    </row>
    <row r="107" spans="1:4" x14ac:dyDescent="0.3">
      <c r="A107">
        <v>12</v>
      </c>
      <c r="B107">
        <v>13</v>
      </c>
      <c r="C107">
        <v>14</v>
      </c>
      <c r="D107">
        <v>13</v>
      </c>
    </row>
    <row r="108" spans="1:4" x14ac:dyDescent="0.3">
      <c r="A108">
        <v>11</v>
      </c>
      <c r="B108">
        <v>13</v>
      </c>
      <c r="C108">
        <v>13</v>
      </c>
      <c r="D108">
        <v>14887</v>
      </c>
    </row>
    <row r="109" spans="1:4" x14ac:dyDescent="0.3">
      <c r="A109">
        <v>40762</v>
      </c>
      <c r="B109">
        <v>15</v>
      </c>
      <c r="C109">
        <v>14957</v>
      </c>
      <c r="D109">
        <v>13</v>
      </c>
    </row>
    <row r="110" spans="1:4" x14ac:dyDescent="0.3">
      <c r="A110">
        <v>12</v>
      </c>
      <c r="B110">
        <v>14</v>
      </c>
      <c r="C110">
        <v>13</v>
      </c>
      <c r="D110">
        <v>13</v>
      </c>
    </row>
    <row r="111" spans="1:4" x14ac:dyDescent="0.3">
      <c r="A111">
        <v>11</v>
      </c>
      <c r="B111">
        <v>14</v>
      </c>
      <c r="C111">
        <v>13</v>
      </c>
      <c r="D111">
        <v>13</v>
      </c>
    </row>
    <row r="112" spans="1:4" x14ac:dyDescent="0.3">
      <c r="A112">
        <v>12</v>
      </c>
      <c r="B112">
        <v>13</v>
      </c>
      <c r="C112">
        <v>13</v>
      </c>
      <c r="D112">
        <v>14944</v>
      </c>
    </row>
    <row r="113" spans="1:4" x14ac:dyDescent="0.3">
      <c r="A113">
        <v>40884</v>
      </c>
      <c r="B113">
        <v>15</v>
      </c>
      <c r="C113">
        <v>14956</v>
      </c>
      <c r="D113">
        <v>14</v>
      </c>
    </row>
    <row r="114" spans="1:4" x14ac:dyDescent="0.3">
      <c r="A114">
        <v>12</v>
      </c>
      <c r="B114">
        <v>14</v>
      </c>
      <c r="C114">
        <v>13</v>
      </c>
      <c r="D114">
        <v>14</v>
      </c>
    </row>
    <row r="115" spans="1:4" x14ac:dyDescent="0.3">
      <c r="A115">
        <v>11</v>
      </c>
      <c r="B115">
        <v>13</v>
      </c>
      <c r="C115">
        <v>13</v>
      </c>
      <c r="D115">
        <v>14</v>
      </c>
    </row>
    <row r="116" spans="1:4" x14ac:dyDescent="0.3">
      <c r="A116">
        <v>12</v>
      </c>
      <c r="B116">
        <v>17</v>
      </c>
      <c r="C116">
        <v>13</v>
      </c>
      <c r="D116">
        <v>15865</v>
      </c>
    </row>
    <row r="117" spans="1:4" x14ac:dyDescent="0.3">
      <c r="A117">
        <v>40940</v>
      </c>
      <c r="B117">
        <v>17</v>
      </c>
      <c r="C117">
        <v>15885</v>
      </c>
      <c r="D117">
        <v>13</v>
      </c>
    </row>
    <row r="118" spans="1:4" x14ac:dyDescent="0.3">
      <c r="A118">
        <v>11</v>
      </c>
      <c r="B118">
        <v>13</v>
      </c>
      <c r="C118">
        <v>14</v>
      </c>
      <c r="D118">
        <v>13</v>
      </c>
    </row>
    <row r="119" spans="1:4" x14ac:dyDescent="0.3">
      <c r="A119">
        <v>11</v>
      </c>
      <c r="B119">
        <v>35</v>
      </c>
      <c r="C119">
        <v>13</v>
      </c>
      <c r="D119">
        <v>14</v>
      </c>
    </row>
    <row r="120" spans="1:4" x14ac:dyDescent="0.3">
      <c r="A120">
        <v>11</v>
      </c>
      <c r="B120">
        <v>16</v>
      </c>
      <c r="C120">
        <v>13</v>
      </c>
      <c r="D120">
        <v>14950</v>
      </c>
    </row>
    <row r="121" spans="1:4" x14ac:dyDescent="0.3">
      <c r="A121">
        <v>40949</v>
      </c>
      <c r="B121">
        <v>15</v>
      </c>
      <c r="C121">
        <v>14966</v>
      </c>
      <c r="D121">
        <v>14</v>
      </c>
    </row>
    <row r="122" spans="1:4" x14ac:dyDescent="0.3">
      <c r="A122">
        <v>11</v>
      </c>
      <c r="B122">
        <v>13</v>
      </c>
      <c r="C122">
        <v>13</v>
      </c>
      <c r="D122">
        <v>15</v>
      </c>
    </row>
    <row r="123" spans="1:4" x14ac:dyDescent="0.3">
      <c r="A123">
        <v>12</v>
      </c>
      <c r="B123">
        <v>13</v>
      </c>
      <c r="C123">
        <v>13</v>
      </c>
      <c r="D123">
        <v>16</v>
      </c>
    </row>
    <row r="124" spans="1:4" x14ac:dyDescent="0.3">
      <c r="A124">
        <v>11</v>
      </c>
      <c r="B124">
        <v>13</v>
      </c>
      <c r="C124">
        <v>17</v>
      </c>
      <c r="D124">
        <v>14872</v>
      </c>
    </row>
    <row r="125" spans="1:4" x14ac:dyDescent="0.3">
      <c r="A125">
        <v>40909</v>
      </c>
      <c r="B125">
        <v>16</v>
      </c>
      <c r="C125">
        <v>14911</v>
      </c>
      <c r="D125">
        <v>13</v>
      </c>
    </row>
    <row r="126" spans="1:4" x14ac:dyDescent="0.3">
      <c r="A126">
        <v>11</v>
      </c>
      <c r="B126">
        <v>13</v>
      </c>
      <c r="C126">
        <v>13</v>
      </c>
      <c r="D126">
        <v>13</v>
      </c>
    </row>
    <row r="127" spans="1:4" x14ac:dyDescent="0.3">
      <c r="A127">
        <v>12</v>
      </c>
      <c r="B127">
        <v>14</v>
      </c>
      <c r="C127">
        <v>14</v>
      </c>
      <c r="D127">
        <v>32</v>
      </c>
    </row>
    <row r="128" spans="1:4" x14ac:dyDescent="0.3">
      <c r="A128">
        <v>11</v>
      </c>
      <c r="B128">
        <v>20</v>
      </c>
      <c r="C128">
        <v>18</v>
      </c>
      <c r="D128">
        <v>15054</v>
      </c>
    </row>
    <row r="129" spans="1:4" x14ac:dyDescent="0.3">
      <c r="A129">
        <v>40827</v>
      </c>
      <c r="B129">
        <v>15</v>
      </c>
      <c r="C129">
        <v>14905</v>
      </c>
      <c r="D129">
        <v>14</v>
      </c>
    </row>
    <row r="130" spans="1:4" x14ac:dyDescent="0.3">
      <c r="A130">
        <v>12</v>
      </c>
      <c r="B130">
        <v>13</v>
      </c>
      <c r="C130">
        <v>18</v>
      </c>
      <c r="D130">
        <v>13</v>
      </c>
    </row>
    <row r="131" spans="1:4" x14ac:dyDescent="0.3">
      <c r="A131">
        <v>12</v>
      </c>
      <c r="B131">
        <v>14</v>
      </c>
      <c r="C131">
        <v>13</v>
      </c>
      <c r="D131">
        <v>13</v>
      </c>
    </row>
    <row r="132" spans="1:4" x14ac:dyDescent="0.3">
      <c r="A132">
        <v>11</v>
      </c>
      <c r="B132">
        <v>16</v>
      </c>
      <c r="C132">
        <v>14</v>
      </c>
      <c r="D132">
        <v>14972</v>
      </c>
    </row>
    <row r="133" spans="1:4" x14ac:dyDescent="0.3">
      <c r="A133">
        <v>40944</v>
      </c>
      <c r="B133">
        <v>15</v>
      </c>
      <c r="C133">
        <v>14807</v>
      </c>
      <c r="D133">
        <v>13</v>
      </c>
    </row>
    <row r="134" spans="1:4" x14ac:dyDescent="0.3">
      <c r="A134">
        <v>19</v>
      </c>
      <c r="B134">
        <v>21</v>
      </c>
      <c r="C134">
        <v>14</v>
      </c>
      <c r="D134">
        <v>14</v>
      </c>
    </row>
    <row r="135" spans="1:4" x14ac:dyDescent="0.3">
      <c r="A135">
        <v>11</v>
      </c>
      <c r="B135">
        <v>15</v>
      </c>
      <c r="C135">
        <v>13</v>
      </c>
      <c r="D135">
        <v>13</v>
      </c>
    </row>
    <row r="136" spans="1:4" x14ac:dyDescent="0.3">
      <c r="A136">
        <v>12</v>
      </c>
      <c r="B136">
        <v>13</v>
      </c>
      <c r="C136">
        <v>15</v>
      </c>
      <c r="D136">
        <v>15831</v>
      </c>
    </row>
    <row r="137" spans="1:4" x14ac:dyDescent="0.3">
      <c r="A137">
        <v>40938</v>
      </c>
      <c r="B137">
        <v>15</v>
      </c>
      <c r="C137">
        <v>15771</v>
      </c>
      <c r="D137">
        <v>13</v>
      </c>
    </row>
    <row r="138" spans="1:4" x14ac:dyDescent="0.3">
      <c r="A138">
        <v>11</v>
      </c>
      <c r="B138">
        <v>14</v>
      </c>
      <c r="C138">
        <v>13</v>
      </c>
      <c r="D138">
        <v>13</v>
      </c>
    </row>
    <row r="139" spans="1:4" x14ac:dyDescent="0.3">
      <c r="A139">
        <v>11</v>
      </c>
      <c r="B139">
        <v>13</v>
      </c>
      <c r="C139">
        <v>13</v>
      </c>
      <c r="D139">
        <v>13</v>
      </c>
    </row>
    <row r="140" spans="1:4" x14ac:dyDescent="0.3">
      <c r="A140">
        <v>12</v>
      </c>
      <c r="B140">
        <v>14</v>
      </c>
      <c r="C140">
        <v>14</v>
      </c>
      <c r="D140">
        <v>14957</v>
      </c>
    </row>
    <row r="141" spans="1:4" x14ac:dyDescent="0.3">
      <c r="A141">
        <v>40949</v>
      </c>
      <c r="B141">
        <v>15</v>
      </c>
      <c r="C141">
        <v>14975</v>
      </c>
      <c r="D141">
        <v>13</v>
      </c>
    </row>
    <row r="142" spans="1:4" x14ac:dyDescent="0.3">
      <c r="A142">
        <v>12</v>
      </c>
      <c r="B142">
        <v>13</v>
      </c>
      <c r="C142">
        <v>14</v>
      </c>
      <c r="D142">
        <v>14</v>
      </c>
    </row>
    <row r="143" spans="1:4" x14ac:dyDescent="0.3">
      <c r="A143">
        <v>11</v>
      </c>
      <c r="B143">
        <v>13</v>
      </c>
      <c r="C143">
        <v>14</v>
      </c>
      <c r="D143">
        <v>13</v>
      </c>
    </row>
    <row r="144" spans="1:4" x14ac:dyDescent="0.3">
      <c r="A144">
        <v>11</v>
      </c>
      <c r="B144">
        <v>14</v>
      </c>
      <c r="C144">
        <v>13</v>
      </c>
      <c r="D144">
        <v>14975</v>
      </c>
    </row>
    <row r="145" spans="1:4" x14ac:dyDescent="0.3">
      <c r="A145">
        <v>40902</v>
      </c>
      <c r="B145">
        <v>15</v>
      </c>
      <c r="C145">
        <v>14966</v>
      </c>
      <c r="D145">
        <v>14</v>
      </c>
    </row>
    <row r="146" spans="1:4" x14ac:dyDescent="0.3">
      <c r="A146">
        <v>12</v>
      </c>
      <c r="B146">
        <v>13</v>
      </c>
      <c r="C146">
        <v>14</v>
      </c>
      <c r="D146">
        <v>13</v>
      </c>
    </row>
    <row r="147" spans="1:4" x14ac:dyDescent="0.3">
      <c r="A147">
        <v>12</v>
      </c>
      <c r="B147">
        <v>17</v>
      </c>
      <c r="C147">
        <v>13</v>
      </c>
      <c r="D147">
        <v>13</v>
      </c>
    </row>
    <row r="148" spans="1:4" x14ac:dyDescent="0.3">
      <c r="A148">
        <v>11</v>
      </c>
      <c r="B148">
        <v>13</v>
      </c>
      <c r="C148">
        <v>13</v>
      </c>
      <c r="D148">
        <v>14965</v>
      </c>
    </row>
    <row r="149" spans="1:4" x14ac:dyDescent="0.3">
      <c r="A149">
        <v>40946</v>
      </c>
      <c r="B149">
        <v>15</v>
      </c>
      <c r="C149">
        <v>14915</v>
      </c>
      <c r="D149">
        <v>16</v>
      </c>
    </row>
    <row r="150" spans="1:4" x14ac:dyDescent="0.3">
      <c r="A150">
        <v>12</v>
      </c>
      <c r="B150">
        <v>19</v>
      </c>
      <c r="C150">
        <v>16</v>
      </c>
      <c r="D150">
        <v>14</v>
      </c>
    </row>
    <row r="151" spans="1:4" x14ac:dyDescent="0.3">
      <c r="A151">
        <v>11</v>
      </c>
      <c r="B151">
        <v>14</v>
      </c>
      <c r="C151">
        <v>13</v>
      </c>
      <c r="D151">
        <v>13</v>
      </c>
    </row>
    <row r="152" spans="1:4" x14ac:dyDescent="0.3">
      <c r="A152">
        <v>12</v>
      </c>
      <c r="B152">
        <v>14</v>
      </c>
      <c r="C152">
        <v>13</v>
      </c>
      <c r="D152">
        <v>14844</v>
      </c>
    </row>
    <row r="153" spans="1:4" x14ac:dyDescent="0.3">
      <c r="A153">
        <v>40917</v>
      </c>
      <c r="B153">
        <v>15</v>
      </c>
      <c r="C153">
        <v>14899</v>
      </c>
      <c r="D153">
        <v>16</v>
      </c>
    </row>
    <row r="154" spans="1:4" x14ac:dyDescent="0.3">
      <c r="A154">
        <v>14</v>
      </c>
      <c r="B154">
        <v>13</v>
      </c>
      <c r="C154">
        <v>13</v>
      </c>
      <c r="D154">
        <v>15</v>
      </c>
    </row>
    <row r="155" spans="1:4" x14ac:dyDescent="0.3">
      <c r="A155">
        <v>11</v>
      </c>
      <c r="B155">
        <v>14</v>
      </c>
      <c r="C155">
        <v>31</v>
      </c>
      <c r="D155">
        <v>13</v>
      </c>
    </row>
    <row r="156" spans="1:4" x14ac:dyDescent="0.3">
      <c r="A156">
        <v>11</v>
      </c>
      <c r="B156">
        <v>14</v>
      </c>
      <c r="C156">
        <v>29</v>
      </c>
      <c r="D156">
        <v>15722</v>
      </c>
    </row>
    <row r="157" spans="1:4" x14ac:dyDescent="0.3">
      <c r="A157">
        <v>40395</v>
      </c>
      <c r="B157">
        <v>15</v>
      </c>
      <c r="C157">
        <v>14432</v>
      </c>
      <c r="D157">
        <v>14</v>
      </c>
    </row>
    <row r="158" spans="1:4" x14ac:dyDescent="0.3">
      <c r="A158">
        <v>14</v>
      </c>
      <c r="B158">
        <v>13</v>
      </c>
      <c r="C158">
        <v>13</v>
      </c>
      <c r="D158">
        <v>13</v>
      </c>
    </row>
    <row r="159" spans="1:4" x14ac:dyDescent="0.3">
      <c r="A159">
        <v>12</v>
      </c>
      <c r="B159">
        <v>13</v>
      </c>
      <c r="C159">
        <v>13</v>
      </c>
      <c r="D159">
        <v>13</v>
      </c>
    </row>
    <row r="160" spans="1:4" x14ac:dyDescent="0.3">
      <c r="A160">
        <v>11</v>
      </c>
      <c r="B160">
        <v>14</v>
      </c>
      <c r="C160">
        <v>13</v>
      </c>
      <c r="D160">
        <v>14957</v>
      </c>
    </row>
    <row r="161" spans="1:4" x14ac:dyDescent="0.3">
      <c r="A161">
        <v>40756</v>
      </c>
      <c r="B161">
        <v>15</v>
      </c>
      <c r="C161">
        <v>14954</v>
      </c>
      <c r="D161">
        <v>13</v>
      </c>
    </row>
    <row r="162" spans="1:4" x14ac:dyDescent="0.3">
      <c r="A162">
        <v>12</v>
      </c>
      <c r="B162">
        <v>13</v>
      </c>
      <c r="C162">
        <v>13</v>
      </c>
      <c r="D162">
        <v>13</v>
      </c>
    </row>
    <row r="163" spans="1:4" x14ac:dyDescent="0.3">
      <c r="A163">
        <v>12</v>
      </c>
      <c r="B163">
        <v>16</v>
      </c>
      <c r="C163">
        <v>14</v>
      </c>
      <c r="D163">
        <v>13</v>
      </c>
    </row>
    <row r="164" spans="1:4" x14ac:dyDescent="0.3">
      <c r="A164">
        <v>11</v>
      </c>
      <c r="B164">
        <v>14</v>
      </c>
      <c r="C164">
        <v>13</v>
      </c>
      <c r="D164">
        <v>14952</v>
      </c>
    </row>
    <row r="165" spans="1:4" x14ac:dyDescent="0.3">
      <c r="A165">
        <v>40944</v>
      </c>
      <c r="B165">
        <v>40</v>
      </c>
      <c r="C165">
        <v>14952</v>
      </c>
      <c r="D165">
        <v>13</v>
      </c>
    </row>
    <row r="166" spans="1:4" x14ac:dyDescent="0.3">
      <c r="A166">
        <v>12</v>
      </c>
      <c r="B166">
        <v>13</v>
      </c>
      <c r="C166">
        <v>13</v>
      </c>
      <c r="D166">
        <v>13</v>
      </c>
    </row>
    <row r="167" spans="1:4" x14ac:dyDescent="0.3">
      <c r="A167">
        <v>12</v>
      </c>
      <c r="B167">
        <v>13</v>
      </c>
      <c r="C167">
        <v>20</v>
      </c>
      <c r="D167">
        <v>13</v>
      </c>
    </row>
    <row r="168" spans="1:4" x14ac:dyDescent="0.3">
      <c r="A168">
        <v>11</v>
      </c>
      <c r="B168">
        <v>13</v>
      </c>
      <c r="C168">
        <v>14</v>
      </c>
      <c r="D168">
        <v>14954</v>
      </c>
    </row>
    <row r="169" spans="1:4" x14ac:dyDescent="0.3">
      <c r="A169">
        <v>40937</v>
      </c>
      <c r="B169">
        <v>15</v>
      </c>
      <c r="C169">
        <v>14953</v>
      </c>
      <c r="D169">
        <v>13</v>
      </c>
    </row>
    <row r="170" spans="1:4" x14ac:dyDescent="0.3">
      <c r="A170">
        <v>12</v>
      </c>
      <c r="B170">
        <v>13</v>
      </c>
      <c r="C170">
        <v>13</v>
      </c>
      <c r="D170">
        <v>13</v>
      </c>
    </row>
    <row r="171" spans="1:4" x14ac:dyDescent="0.3">
      <c r="A171">
        <v>12</v>
      </c>
      <c r="B171">
        <v>14</v>
      </c>
      <c r="C171">
        <v>13</v>
      </c>
      <c r="D171">
        <v>13</v>
      </c>
    </row>
    <row r="172" spans="1:4" x14ac:dyDescent="0.3">
      <c r="A172">
        <v>11</v>
      </c>
      <c r="B172">
        <v>13</v>
      </c>
      <c r="C172">
        <v>14</v>
      </c>
      <c r="D172">
        <v>14967</v>
      </c>
    </row>
    <row r="173" spans="1:4" x14ac:dyDescent="0.3">
      <c r="A173">
        <v>40950</v>
      </c>
      <c r="B173">
        <v>15</v>
      </c>
      <c r="C173">
        <v>14958</v>
      </c>
      <c r="D173">
        <v>13</v>
      </c>
    </row>
    <row r="174" spans="1:4" x14ac:dyDescent="0.3">
      <c r="A174">
        <v>11</v>
      </c>
      <c r="B174">
        <v>14</v>
      </c>
      <c r="C174">
        <v>13</v>
      </c>
      <c r="D174">
        <v>14</v>
      </c>
    </row>
    <row r="175" spans="1:4" x14ac:dyDescent="0.3">
      <c r="A175">
        <v>12</v>
      </c>
      <c r="B175">
        <v>14</v>
      </c>
      <c r="C175">
        <v>13</v>
      </c>
      <c r="D175">
        <v>16</v>
      </c>
    </row>
    <row r="176" spans="1:4" x14ac:dyDescent="0.3">
      <c r="A176">
        <v>11</v>
      </c>
      <c r="B176">
        <v>19</v>
      </c>
      <c r="C176">
        <v>13</v>
      </c>
      <c r="D176">
        <v>15846</v>
      </c>
    </row>
    <row r="177" spans="1:4" x14ac:dyDescent="0.3">
      <c r="A177">
        <v>40899</v>
      </c>
      <c r="B177">
        <v>15</v>
      </c>
      <c r="C177">
        <v>15855</v>
      </c>
      <c r="D177">
        <v>14</v>
      </c>
    </row>
    <row r="178" spans="1:4" x14ac:dyDescent="0.3">
      <c r="A178">
        <v>10</v>
      </c>
      <c r="B178">
        <v>16</v>
      </c>
      <c r="C178">
        <v>11</v>
      </c>
      <c r="D178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partitions (2)</vt:lpstr>
      <vt:lpstr>partitions</vt:lpstr>
      <vt:lpstr>ClavierPC</vt:lpstr>
      <vt:lpstr>BP</vt:lpstr>
      <vt:lpstr>I2S</vt:lpstr>
    </vt:vector>
  </TitlesOfParts>
  <Company>DSIBR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GENOTELLE Eric [EXT]</dc:creator>
  <cp:lastModifiedBy>Eric Genotelle</cp:lastModifiedBy>
  <dcterms:created xsi:type="dcterms:W3CDTF">2024-03-28T10:04:43Z</dcterms:created>
  <dcterms:modified xsi:type="dcterms:W3CDTF">2024-12-03T22:49:09Z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e0428da-ac0f-4a84-a429-a80e20cb35de_Enabled">
    <vt:lpwstr>true</vt:lpwstr>
  </property>
  <property fmtid="{D5CDD505-2E9C-101B-9397-08002B2CF9AE}" pid="3" name="MSIP_Label_ee0428da-ac0f-4a84-a429-a80e20cb35de_SetDate">
    <vt:lpwstr>2024-03-28T16:40:05Z</vt:lpwstr>
  </property>
  <property fmtid="{D5CDD505-2E9C-101B-9397-08002B2CF9AE}" pid="4" name="MSIP_Label_ee0428da-ac0f-4a84-a429-a80e20cb35de_Method">
    <vt:lpwstr>Standard</vt:lpwstr>
  </property>
  <property fmtid="{D5CDD505-2E9C-101B-9397-08002B2CF9AE}" pid="5" name="MSIP_Label_ee0428da-ac0f-4a84-a429-a80e20cb35de_Name">
    <vt:lpwstr>ee0428da-ac0f-4a84-a429-a80e20cb35de</vt:lpwstr>
  </property>
  <property fmtid="{D5CDD505-2E9C-101B-9397-08002B2CF9AE}" pid="6" name="MSIP_Label_ee0428da-ac0f-4a84-a429-a80e20cb35de_SiteId">
    <vt:lpwstr>80c03608-5f64-40bb-9c70-9394abe6011c</vt:lpwstr>
  </property>
  <property fmtid="{D5CDD505-2E9C-101B-9397-08002B2CF9AE}" pid="7" name="MSIP_Label_ee0428da-ac0f-4a84-a429-a80e20cb35de_ActionId">
    <vt:lpwstr>afa197ab-a57f-4e33-9eff-be6b7bd0fce5</vt:lpwstr>
  </property>
  <property fmtid="{D5CDD505-2E9C-101B-9397-08002B2CF9AE}" pid="8" name="MSIP_Label_ee0428da-ac0f-4a84-a429-a80e20cb35de_ContentBits">
    <vt:lpwstr>2</vt:lpwstr>
  </property>
</Properties>
</file>